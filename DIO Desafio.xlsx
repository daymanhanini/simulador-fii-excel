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105C2CC6-62A3-46A1-B619-DA6F672B515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imulador " sheetId="1" r:id="rId1"/>
    <sheet name="evolução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A61" i="2"/>
  <c r="B61" i="2"/>
  <c r="C61" i="2"/>
  <c r="D61" i="2"/>
  <c r="E61" i="2"/>
  <c r="F61" i="2"/>
  <c r="B15" i="1"/>
  <c r="A4" i="2"/>
  <c r="B4" i="2"/>
  <c r="C4" i="2"/>
  <c r="D4" i="2"/>
  <c r="E4" i="2"/>
  <c r="F4" i="2"/>
  <c r="A5" i="2"/>
  <c r="B5" i="2"/>
  <c r="C5" i="2"/>
  <c r="D5" i="2"/>
  <c r="E5" i="2"/>
  <c r="F5" i="2"/>
  <c r="A6" i="2"/>
  <c r="B6" i="2"/>
  <c r="C6" i="2"/>
  <c r="D6" i="2"/>
  <c r="E6" i="2"/>
  <c r="F6" i="2"/>
  <c r="A7" i="2"/>
  <c r="B7" i="2"/>
  <c r="C7" i="2"/>
  <c r="D7" i="2"/>
  <c r="E7" i="2"/>
  <c r="F7" i="2"/>
  <c r="A8" i="2"/>
  <c r="B8" i="2"/>
  <c r="C8" i="2"/>
  <c r="D8" i="2"/>
  <c r="E8" i="2"/>
  <c r="F8" i="2"/>
  <c r="A9" i="2"/>
  <c r="B9" i="2"/>
  <c r="C9" i="2"/>
  <c r="D9" i="2"/>
  <c r="E9" i="2"/>
  <c r="F9" i="2"/>
  <c r="A10" i="2"/>
  <c r="B10" i="2"/>
  <c r="C10" i="2"/>
  <c r="D10" i="2"/>
  <c r="E10" i="2"/>
  <c r="F10" i="2"/>
  <c r="A11" i="2"/>
  <c r="B11" i="2"/>
  <c r="C11" i="2"/>
  <c r="D11" i="2"/>
  <c r="E11" i="2"/>
  <c r="F11" i="2"/>
  <c r="A12" i="2"/>
  <c r="B12" i="2"/>
  <c r="C12" i="2"/>
  <c r="D12" i="2"/>
  <c r="E12" i="2"/>
  <c r="F12" i="2"/>
  <c r="A13" i="2"/>
  <c r="B13" i="2"/>
  <c r="C13" i="2"/>
  <c r="D13" i="2"/>
  <c r="E13" i="2"/>
  <c r="F13" i="2"/>
  <c r="A14" i="2"/>
  <c r="B14" i="2"/>
  <c r="C14" i="2"/>
  <c r="D14" i="2"/>
  <c r="E14" i="2"/>
  <c r="F14" i="2"/>
  <c r="A15" i="2"/>
  <c r="B15" i="2"/>
  <c r="C15" i="2"/>
  <c r="D15" i="2"/>
  <c r="E15" i="2"/>
  <c r="F15" i="2"/>
  <c r="A16" i="2"/>
  <c r="B16" i="2"/>
  <c r="C16" i="2"/>
  <c r="D16" i="2"/>
  <c r="E16" i="2"/>
  <c r="F16" i="2"/>
  <c r="A17" i="2"/>
  <c r="B17" i="2"/>
  <c r="C17" i="2"/>
  <c r="D17" i="2"/>
  <c r="E17" i="2"/>
  <c r="F17" i="2"/>
  <c r="A18" i="2"/>
  <c r="B18" i="2"/>
  <c r="C18" i="2"/>
  <c r="D18" i="2"/>
  <c r="E18" i="2"/>
  <c r="F18" i="2"/>
  <c r="A19" i="2"/>
  <c r="B19" i="2"/>
  <c r="C19" i="2"/>
  <c r="D19" i="2"/>
  <c r="E19" i="2"/>
  <c r="F19" i="2"/>
  <c r="A20" i="2"/>
  <c r="B20" i="2"/>
  <c r="C20" i="2"/>
  <c r="D20" i="2"/>
  <c r="E20" i="2"/>
  <c r="F20" i="2"/>
  <c r="A21" i="2"/>
  <c r="B21" i="2"/>
  <c r="C21" i="2"/>
  <c r="D21" i="2"/>
  <c r="E21" i="2"/>
  <c r="F21" i="2"/>
  <c r="A22" i="2"/>
  <c r="B22" i="2"/>
  <c r="C22" i="2"/>
  <c r="D22" i="2"/>
  <c r="E22" i="2"/>
  <c r="F22" i="2"/>
  <c r="A23" i="2"/>
  <c r="B23" i="2"/>
  <c r="C23" i="2"/>
  <c r="D23" i="2"/>
  <c r="E23" i="2"/>
  <c r="F23" i="2"/>
  <c r="A24" i="2"/>
  <c r="B24" i="2"/>
  <c r="C24" i="2"/>
  <c r="D24" i="2"/>
  <c r="E24" i="2"/>
  <c r="F24" i="2"/>
  <c r="A25" i="2"/>
  <c r="B25" i="2"/>
  <c r="C25" i="2"/>
  <c r="D25" i="2"/>
  <c r="E25" i="2"/>
  <c r="F25" i="2"/>
  <c r="A26" i="2"/>
  <c r="B26" i="2"/>
  <c r="C26" i="2"/>
  <c r="D26" i="2"/>
  <c r="E26" i="2"/>
  <c r="F26" i="2"/>
  <c r="A27" i="2"/>
  <c r="B27" i="2"/>
  <c r="C27" i="2"/>
  <c r="D27" i="2"/>
  <c r="E27" i="2"/>
  <c r="F27" i="2"/>
  <c r="A28" i="2"/>
  <c r="B28" i="2"/>
  <c r="C28" i="2"/>
  <c r="D28" i="2"/>
  <c r="E28" i="2"/>
  <c r="F28" i="2"/>
  <c r="A29" i="2"/>
  <c r="B29" i="2"/>
  <c r="C29" i="2"/>
  <c r="D29" i="2"/>
  <c r="E29" i="2"/>
  <c r="F29" i="2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/>
  <c r="F32" i="2"/>
  <c r="A33" i="2"/>
  <c r="B33" i="2"/>
  <c r="C33" i="2"/>
  <c r="D33" i="2"/>
  <c r="E33" i="2"/>
  <c r="F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B36" i="2"/>
  <c r="C36" i="2"/>
  <c r="D36" i="2"/>
  <c r="E36" i="2"/>
  <c r="F36" i="2"/>
  <c r="A37" i="2"/>
  <c r="B37" i="2"/>
  <c r="C37" i="2"/>
  <c r="D37" i="2"/>
  <c r="E37" i="2"/>
  <c r="F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/>
  <c r="F40" i="2"/>
  <c r="A41" i="2"/>
  <c r="B41" i="2"/>
  <c r="C41" i="2"/>
  <c r="D41" i="2"/>
  <c r="E41" i="2"/>
  <c r="F41" i="2"/>
  <c r="A42" i="2"/>
  <c r="B42" i="2"/>
  <c r="C42" i="2"/>
  <c r="D42" i="2"/>
  <c r="E42" i="2"/>
  <c r="F42" i="2"/>
  <c r="A43" i="2"/>
  <c r="B43" i="2"/>
  <c r="C43" i="2"/>
  <c r="D43" i="2"/>
  <c r="E43" i="2"/>
  <c r="F43" i="2"/>
  <c r="A44" i="2"/>
  <c r="B44" i="2"/>
  <c r="C44" i="2"/>
  <c r="D44" i="2"/>
  <c r="E44" i="2"/>
  <c r="F44" i="2"/>
  <c r="A45" i="2"/>
  <c r="B45" i="2"/>
  <c r="C45" i="2"/>
  <c r="D45" i="2"/>
  <c r="E45" i="2"/>
  <c r="F45" i="2"/>
  <c r="A46" i="2"/>
  <c r="B46" i="2"/>
  <c r="C46" i="2"/>
  <c r="D46" i="2"/>
  <c r="E46" i="2"/>
  <c r="F46" i="2"/>
  <c r="A47" i="2"/>
  <c r="B47" i="2"/>
  <c r="C47" i="2"/>
  <c r="D47" i="2"/>
  <c r="E47" i="2"/>
  <c r="F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B50" i="2"/>
  <c r="C50" i="2"/>
  <c r="D50" i="2"/>
  <c r="E50" i="2"/>
  <c r="F50" i="2"/>
  <c r="A51" i="2"/>
  <c r="B51" i="2"/>
  <c r="C51" i="2"/>
  <c r="D51" i="2"/>
  <c r="E51" i="2"/>
  <c r="F51" i="2"/>
  <c r="A52" i="2"/>
  <c r="B52" i="2"/>
  <c r="C52" i="2"/>
  <c r="D52" i="2"/>
  <c r="E52" i="2"/>
  <c r="F52" i="2"/>
  <c r="A53" i="2"/>
  <c r="B53" i="2"/>
  <c r="C53" i="2"/>
  <c r="D53" i="2"/>
  <c r="E53" i="2"/>
  <c r="F53" i="2"/>
  <c r="A54" i="2"/>
  <c r="B54" i="2"/>
  <c r="C54" i="2"/>
  <c r="D54" i="2"/>
  <c r="E54" i="2"/>
  <c r="F54" i="2"/>
  <c r="A55" i="2"/>
  <c r="B55" i="2"/>
  <c r="C55" i="2"/>
  <c r="D55" i="2"/>
  <c r="E55" i="2"/>
  <c r="F55" i="2"/>
  <c r="A56" i="2"/>
  <c r="B56" i="2"/>
  <c r="C56" i="2"/>
  <c r="D56" i="2"/>
  <c r="E56" i="2"/>
  <c r="F56" i="2"/>
  <c r="A57" i="2"/>
  <c r="B57" i="2"/>
  <c r="C57" i="2"/>
  <c r="D57" i="2"/>
  <c r="E57" i="2"/>
  <c r="F57" i="2"/>
  <c r="A58" i="2"/>
  <c r="B58" i="2"/>
  <c r="C58" i="2"/>
  <c r="D58" i="2"/>
  <c r="E58" i="2"/>
  <c r="F58" i="2"/>
  <c r="A59" i="2"/>
  <c r="B59" i="2"/>
  <c r="C59" i="2"/>
  <c r="D59" i="2"/>
  <c r="E59" i="2"/>
  <c r="F59" i="2"/>
  <c r="A60" i="2"/>
  <c r="B60" i="2"/>
  <c r="C60" i="2"/>
  <c r="D60" i="2"/>
  <c r="E60" i="2"/>
  <c r="F60" i="2"/>
  <c r="F3" i="2"/>
  <c r="E3" i="2"/>
  <c r="D3" i="2"/>
  <c r="C3" i="2"/>
  <c r="B3" i="2"/>
  <c r="A3" i="2"/>
  <c r="F2" i="2"/>
  <c r="E2" i="2"/>
  <c r="D2" i="2"/>
  <c r="C2" i="2"/>
  <c r="B2" i="2"/>
  <c r="B14" i="1"/>
</calcChain>
</file>

<file path=xl/sharedStrings.xml><?xml version="1.0" encoding="utf-8"?>
<sst xmlns="http://schemas.openxmlformats.org/spreadsheetml/2006/main" count="22" uniqueCount="22">
  <si>
    <t>SIMULADOR DE INVESTIMENTO FII</t>
  </si>
  <si>
    <t>Configurações</t>
  </si>
  <si>
    <t>Aporte inicial (R$)</t>
  </si>
  <si>
    <t>Aporte mensal (R$)</t>
  </si>
  <si>
    <t>Tempo (meses)</t>
  </si>
  <si>
    <t>Rendimento mensal (%)</t>
  </si>
  <si>
    <t>Taxa de dividendos (%)</t>
  </si>
  <si>
    <t>Resultados</t>
  </si>
  <si>
    <t>Total investido (R$)</t>
  </si>
  <si>
    <t>Patrimônio final estimado (R$)</t>
  </si>
  <si>
    <t>Dividendos mensais estimados (R$)</t>
  </si>
  <si>
    <t>Mês</t>
  </si>
  <si>
    <t>Aporte (R$)</t>
  </si>
  <si>
    <t>Patrimônio Inicial (R$)</t>
  </si>
  <si>
    <t>Rendimento do mês (R$)</t>
  </si>
  <si>
    <t>Patrimônio Final (R$)</t>
  </si>
  <si>
    <t>Dividendos (R$)</t>
  </si>
  <si>
    <t>Parâmetros</t>
  </si>
  <si>
    <t>Aporte mensal</t>
  </si>
  <si>
    <t>Rendimento mensal</t>
  </si>
  <si>
    <t>Taxa de dividendos</t>
  </si>
  <si>
    <t>Aporte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</si>
</sst>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patrimonio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evolução!$E$1</c:f>
              <c:strCache>
                <c:ptCount val="1"/>
                <c:pt idx="0">
                  <c:v> Patrimônio Final (R$)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evolução!$E$2:$E$60</c:f>
              <c:numCache>
                <c:formatCode>_-[$R$-416]\ * #,##0.00_-;\-[$R$-416]\ * #,##0.00_-;_-[$R$-416]\ * "-"??_-;_-@_-</c:formatCode>
                <c:ptCount val="59"/>
                <c:pt idx="0">
                  <c:v>200</c:v>
                </c:pt>
                <c:pt idx="1">
                  <c:v>402</c:v>
                </c:pt>
                <c:pt idx="2">
                  <c:v>606.02</c:v>
                </c:pt>
                <c:pt idx="3">
                  <c:v>812.08019999999999</c:v>
                </c:pt>
                <c:pt idx="4">
                  <c:v>1020.201002</c:v>
                </c:pt>
                <c:pt idx="5">
                  <c:v>1230.40301202</c:v>
                </c:pt>
                <c:pt idx="6">
                  <c:v>1442.7070421402</c:v>
                </c:pt>
                <c:pt idx="7">
                  <c:v>1657.134112561602</c:v>
                </c:pt>
                <c:pt idx="8">
                  <c:v>1873.7054536872181</c:v>
                </c:pt>
                <c:pt idx="9">
                  <c:v>2092.4425082240905</c:v>
                </c:pt>
                <c:pt idx="10">
                  <c:v>2313.3669333063312</c:v>
                </c:pt>
                <c:pt idx="11">
                  <c:v>2536.5006026393944</c:v>
                </c:pt>
                <c:pt idx="12">
                  <c:v>2761.8656086657884</c:v>
                </c:pt>
                <c:pt idx="13">
                  <c:v>2989.4842647524461</c:v>
                </c:pt>
                <c:pt idx="14">
                  <c:v>3219.3791073999705</c:v>
                </c:pt>
                <c:pt idx="15">
                  <c:v>3451.5728984739703</c:v>
                </c:pt>
                <c:pt idx="16">
                  <c:v>3686.0886274587101</c:v>
                </c:pt>
                <c:pt idx="17">
                  <c:v>3922.9495137332974</c:v>
                </c:pt>
                <c:pt idx="18">
                  <c:v>4162.1790088706312</c:v>
                </c:pt>
                <c:pt idx="19">
                  <c:v>4403.800798959337</c:v>
                </c:pt>
                <c:pt idx="20">
                  <c:v>4647.8388069489301</c:v>
                </c:pt>
                <c:pt idx="21">
                  <c:v>4894.3171950184196</c:v>
                </c:pt>
                <c:pt idx="22">
                  <c:v>5143.2603669686041</c:v>
                </c:pt>
                <c:pt idx="23">
                  <c:v>5394.6929706382898</c:v>
                </c:pt>
                <c:pt idx="24">
                  <c:v>5648.6399003446732</c:v>
                </c:pt>
                <c:pt idx="25">
                  <c:v>5905.1262993481196</c:v>
                </c:pt>
                <c:pt idx="26">
                  <c:v>6164.1775623416006</c:v>
                </c:pt>
                <c:pt idx="27">
                  <c:v>6425.8193379650165</c:v>
                </c:pt>
                <c:pt idx="28">
                  <c:v>6690.0775313446666</c:v>
                </c:pt>
                <c:pt idx="29">
                  <c:v>6956.9783066581131</c:v>
                </c:pt>
                <c:pt idx="30">
                  <c:v>7226.5480897246944</c:v>
                </c:pt>
                <c:pt idx="31">
                  <c:v>7498.8135706219409</c:v>
                </c:pt>
                <c:pt idx="32">
                  <c:v>7773.8017063281604</c:v>
                </c:pt>
                <c:pt idx="33">
                  <c:v>8051.5397233914418</c:v>
                </c:pt>
                <c:pt idx="34">
                  <c:v>8332.0551206253549</c:v>
                </c:pt>
                <c:pt idx="35">
                  <c:v>8615.375671831609</c:v>
                </c:pt>
                <c:pt idx="36">
                  <c:v>8901.5294285499258</c:v>
                </c:pt>
                <c:pt idx="37">
                  <c:v>9190.5447228354242</c:v>
                </c:pt>
                <c:pt idx="38">
                  <c:v>9482.4501700637793</c:v>
                </c:pt>
                <c:pt idx="39">
                  <c:v>9777.2746717644168</c:v>
                </c:pt>
                <c:pt idx="40">
                  <c:v>10075.047418482061</c:v>
                </c:pt>
                <c:pt idx="41">
                  <c:v>10375.797892666882</c:v>
                </c:pt>
                <c:pt idx="42">
                  <c:v>10679.555871593551</c:v>
                </c:pt>
                <c:pt idx="43">
                  <c:v>10986.351430309487</c:v>
                </c:pt>
                <c:pt idx="44">
                  <c:v>11296.214944612582</c:v>
                </c:pt>
                <c:pt idx="45">
                  <c:v>11609.177094058708</c:v>
                </c:pt>
                <c:pt idx="46">
                  <c:v>11925.268864999296</c:v>
                </c:pt>
                <c:pt idx="47">
                  <c:v>12244.521553649289</c:v>
                </c:pt>
                <c:pt idx="48">
                  <c:v>12566.966769185781</c:v>
                </c:pt>
                <c:pt idx="49">
                  <c:v>12892.636436877639</c:v>
                </c:pt>
                <c:pt idx="50">
                  <c:v>13221.562801246417</c:v>
                </c:pt>
                <c:pt idx="51">
                  <c:v>13553.77842925888</c:v>
                </c:pt>
                <c:pt idx="52">
                  <c:v>13889.316213551469</c:v>
                </c:pt>
                <c:pt idx="53">
                  <c:v>14228.209375686984</c:v>
                </c:pt>
                <c:pt idx="54">
                  <c:v>14570.491469443854</c:v>
                </c:pt>
                <c:pt idx="55">
                  <c:v>14916.196384138293</c:v>
                </c:pt>
                <c:pt idx="56">
                  <c:v>15265.358347979676</c:v>
                </c:pt>
                <c:pt idx="57">
                  <c:v>15618.011931459472</c:v>
                </c:pt>
                <c:pt idx="58">
                  <c:v>15974.192050774067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0-4811-AFAC-685A6B40E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451015"/>
        <c:axId val="1897439751"/>
      </c:lineChart>
      <c:catAx>
        <c:axId val="1897451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39751"/>
        <c:crosses val="autoZero"/>
        <c:auto val="1"/>
        <c:lblAlgn val="ctr"/>
        <c:lblOffset val="100"/>
        <c:noMultiLvlLbl val="0"/>
      </c:catAx>
      <c:valAx>
        <c:axId val="1897439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51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6</xdr:row>
      <xdr:rowOff>9525</xdr:rowOff>
    </xdr:from>
    <xdr:to>
      <xdr:col>13</xdr:col>
      <xdr:colOff>114300</xdr:colOff>
      <xdr:row>20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254ABE-B64F-0D37-4828-535B91D06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do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lado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6"/>
  <sheetViews>
    <sheetView workbookViewId="0">
      <selection activeCell="H16" sqref="H16"/>
    </sheetView>
  </sheetViews>
  <sheetFormatPr defaultRowHeight="15"/>
  <cols>
    <col min="1" max="1" width="31.5703125" bestFit="1" customWidth="1"/>
    <col min="2" max="2" width="13.28515625" bestFit="1" customWidth="1"/>
  </cols>
  <sheetData>
    <row r="2" spans="1:2">
      <c r="A2" t="s">
        <v>0</v>
      </c>
    </row>
    <row r="4" spans="1:2">
      <c r="A4" t="s">
        <v>1</v>
      </c>
    </row>
    <row r="6" spans="1:2">
      <c r="A6" t="s">
        <v>2</v>
      </c>
      <c r="B6" s="2">
        <v>0</v>
      </c>
    </row>
    <row r="7" spans="1:2">
      <c r="A7" t="s">
        <v>3</v>
      </c>
      <c r="B7" s="2">
        <v>200</v>
      </c>
    </row>
    <row r="8" spans="1:2">
      <c r="A8" t="s">
        <v>4</v>
      </c>
      <c r="B8">
        <v>60</v>
      </c>
    </row>
    <row r="9" spans="1:2">
      <c r="A9" t="s">
        <v>5</v>
      </c>
      <c r="B9" s="1">
        <v>0.01</v>
      </c>
    </row>
    <row r="10" spans="1:2">
      <c r="A10" t="s">
        <v>6</v>
      </c>
      <c r="B10" s="1">
        <v>8.9999999999999993E-3</v>
      </c>
    </row>
    <row r="12" spans="1:2">
      <c r="A12" t="s">
        <v>7</v>
      </c>
    </row>
    <row r="14" spans="1:2">
      <c r="A14" t="s">
        <v>8</v>
      </c>
      <c r="B14" s="2">
        <f>B6+(B7*B8)</f>
        <v>12000</v>
      </c>
    </row>
    <row r="15" spans="1:2">
      <c r="A15" t="s">
        <v>9</v>
      </c>
      <c r="B15" s="2">
        <f>evolução!E61</f>
        <v>16333.933971281807</v>
      </c>
    </row>
    <row r="16" spans="1:2">
      <c r="A16" t="s">
        <v>10</v>
      </c>
      <c r="B16" s="2">
        <f>evolução!F61</f>
        <v>147.00540574153626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C751-2726-4224-A49B-AD94C8280D60}">
  <dimension ref="A1:I61"/>
  <sheetViews>
    <sheetView tabSelected="1" workbookViewId="0">
      <selection activeCell="H62" sqref="H62"/>
    </sheetView>
  </sheetViews>
  <sheetFormatPr defaultRowHeight="15"/>
  <cols>
    <col min="2" max="2" width="14" style="2" bestFit="1" customWidth="1"/>
    <col min="3" max="3" width="20" style="2" bestFit="1" customWidth="1"/>
    <col min="4" max="4" width="22.42578125" style="2" bestFit="1" customWidth="1"/>
    <col min="5" max="5" width="19.140625" style="2" bestFit="1" customWidth="1"/>
    <col min="6" max="6" width="14.5703125" style="2" bestFit="1" customWidth="1"/>
    <col min="8" max="8" width="18.28515625" bestFit="1" customWidth="1"/>
  </cols>
  <sheetData>
    <row r="1" spans="1:9">
      <c r="A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H1" t="s">
        <v>17</v>
      </c>
    </row>
    <row r="2" spans="1:9">
      <c r="A2">
        <v>1</v>
      </c>
      <c r="B2" s="2">
        <f>$I$2</f>
        <v>200</v>
      </c>
      <c r="C2" s="2">
        <f>$I$5</f>
        <v>0</v>
      </c>
      <c r="D2" s="2">
        <f>C2*$I$3</f>
        <v>0</v>
      </c>
      <c r="E2" s="2">
        <f>C2+B2+D2</f>
        <v>200</v>
      </c>
      <c r="F2" s="2">
        <f>E2*$I$4</f>
        <v>1.7999999999999998</v>
      </c>
      <c r="H2" t="s">
        <v>18</v>
      </c>
      <c r="I2">
        <v>200</v>
      </c>
    </row>
    <row r="3" spans="1:9">
      <c r="A3">
        <f>A2+1</f>
        <v>2</v>
      </c>
      <c r="B3" s="2">
        <f>$I$2</f>
        <v>200</v>
      </c>
      <c r="C3" s="2">
        <f>E2</f>
        <v>200</v>
      </c>
      <c r="D3" s="2">
        <f>C3*$I$3</f>
        <v>2</v>
      </c>
      <c r="E3" s="2">
        <f>C3+B3+D3</f>
        <v>402</v>
      </c>
      <c r="F3" s="2">
        <f>E3*$I$4</f>
        <v>3.6179999999999999</v>
      </c>
      <c r="H3" t="s">
        <v>19</v>
      </c>
      <c r="I3" s="3">
        <v>0.01</v>
      </c>
    </row>
    <row r="4" spans="1:9">
      <c r="A4">
        <f t="shared" ref="A4:A60" si="0">A3+1</f>
        <v>3</v>
      </c>
      <c r="B4" s="2">
        <f t="shared" ref="B4:B61" si="1">$I$2</f>
        <v>200</v>
      </c>
      <c r="C4" s="2">
        <f t="shared" ref="C4:C60" si="2">E3</f>
        <v>402</v>
      </c>
      <c r="D4" s="2">
        <f t="shared" ref="D4:D61" si="3">C4*$I$3</f>
        <v>4.0200000000000005</v>
      </c>
      <c r="E4" s="2">
        <f t="shared" ref="E4:E60" si="4">C4+B4+D4</f>
        <v>606.02</v>
      </c>
      <c r="F4" s="2">
        <f t="shared" ref="F4:F61" si="5">E4*$I$4</f>
        <v>5.4541799999999991</v>
      </c>
      <c r="H4" t="s">
        <v>20</v>
      </c>
      <c r="I4" s="1">
        <v>8.9999999999999993E-3</v>
      </c>
    </row>
    <row r="5" spans="1:9">
      <c r="A5">
        <f t="shared" si="0"/>
        <v>4</v>
      </c>
      <c r="B5" s="2">
        <f t="shared" si="1"/>
        <v>200</v>
      </c>
      <c r="C5" s="2">
        <f t="shared" si="2"/>
        <v>606.02</v>
      </c>
      <c r="D5" s="2">
        <f t="shared" si="3"/>
        <v>6.0602</v>
      </c>
      <c r="E5" s="2">
        <f t="shared" si="4"/>
        <v>812.08019999999999</v>
      </c>
      <c r="F5" s="2">
        <f t="shared" si="5"/>
        <v>7.3087217999999989</v>
      </c>
      <c r="H5" t="s">
        <v>21</v>
      </c>
      <c r="I5">
        <v>0</v>
      </c>
    </row>
    <row r="6" spans="1:9">
      <c r="A6">
        <f t="shared" si="0"/>
        <v>5</v>
      </c>
      <c r="B6" s="2">
        <f t="shared" si="1"/>
        <v>200</v>
      </c>
      <c r="C6" s="2">
        <f t="shared" si="2"/>
        <v>812.08019999999999</v>
      </c>
      <c r="D6" s="2">
        <f t="shared" si="3"/>
        <v>8.1208019999999994</v>
      </c>
      <c r="E6" s="2">
        <f t="shared" si="4"/>
        <v>1020.201002</v>
      </c>
      <c r="F6" s="2">
        <f t="shared" si="5"/>
        <v>9.1818090179999992</v>
      </c>
    </row>
    <row r="7" spans="1:9">
      <c r="A7">
        <f t="shared" si="0"/>
        <v>6</v>
      </c>
      <c r="B7" s="2">
        <f t="shared" si="1"/>
        <v>200</v>
      </c>
      <c r="C7" s="2">
        <f t="shared" si="2"/>
        <v>1020.201002</v>
      </c>
      <c r="D7" s="2">
        <f t="shared" si="3"/>
        <v>10.202010020000001</v>
      </c>
      <c r="E7" s="2">
        <f t="shared" si="4"/>
        <v>1230.40301202</v>
      </c>
      <c r="F7" s="2">
        <f t="shared" si="5"/>
        <v>11.073627108179998</v>
      </c>
    </row>
    <row r="8" spans="1:9">
      <c r="A8">
        <f t="shared" si="0"/>
        <v>7</v>
      </c>
      <c r="B8" s="2">
        <f t="shared" si="1"/>
        <v>200</v>
      </c>
      <c r="C8" s="2">
        <f t="shared" si="2"/>
        <v>1230.40301202</v>
      </c>
      <c r="D8" s="2">
        <f t="shared" si="3"/>
        <v>12.3040301202</v>
      </c>
      <c r="E8" s="2">
        <f t="shared" si="4"/>
        <v>1442.7070421402</v>
      </c>
      <c r="F8" s="2">
        <f t="shared" si="5"/>
        <v>12.984363379261799</v>
      </c>
    </row>
    <row r="9" spans="1:9">
      <c r="A9">
        <f t="shared" si="0"/>
        <v>8</v>
      </c>
      <c r="B9" s="2">
        <f t="shared" si="1"/>
        <v>200</v>
      </c>
      <c r="C9" s="2">
        <f t="shared" si="2"/>
        <v>1442.7070421402</v>
      </c>
      <c r="D9" s="2">
        <f t="shared" si="3"/>
        <v>14.427070421402</v>
      </c>
      <c r="E9" s="2">
        <f t="shared" si="4"/>
        <v>1657.134112561602</v>
      </c>
      <c r="F9" s="2">
        <f t="shared" si="5"/>
        <v>14.914207013054417</v>
      </c>
    </row>
    <row r="10" spans="1:9">
      <c r="A10">
        <f t="shared" si="0"/>
        <v>9</v>
      </c>
      <c r="B10" s="2">
        <f t="shared" si="1"/>
        <v>200</v>
      </c>
      <c r="C10" s="2">
        <f t="shared" si="2"/>
        <v>1657.134112561602</v>
      </c>
      <c r="D10" s="2">
        <f t="shared" si="3"/>
        <v>16.571341125616019</v>
      </c>
      <c r="E10" s="2">
        <f t="shared" si="4"/>
        <v>1873.7054536872181</v>
      </c>
      <c r="F10" s="2">
        <f t="shared" si="5"/>
        <v>16.863349083184961</v>
      </c>
    </row>
    <row r="11" spans="1:9">
      <c r="A11">
        <f t="shared" si="0"/>
        <v>10</v>
      </c>
      <c r="B11" s="2">
        <f t="shared" si="1"/>
        <v>200</v>
      </c>
      <c r="C11" s="2">
        <f t="shared" si="2"/>
        <v>1873.7054536872181</v>
      </c>
      <c r="D11" s="2">
        <f t="shared" si="3"/>
        <v>18.737054536872183</v>
      </c>
      <c r="E11" s="2">
        <f t="shared" si="4"/>
        <v>2092.4425082240905</v>
      </c>
      <c r="F11" s="2">
        <f t="shared" si="5"/>
        <v>18.831982574016813</v>
      </c>
    </row>
    <row r="12" spans="1:9">
      <c r="A12">
        <f t="shared" si="0"/>
        <v>11</v>
      </c>
      <c r="B12" s="2">
        <f t="shared" si="1"/>
        <v>200</v>
      </c>
      <c r="C12" s="2">
        <f t="shared" si="2"/>
        <v>2092.4425082240905</v>
      </c>
      <c r="D12" s="2">
        <f t="shared" si="3"/>
        <v>20.924425082240905</v>
      </c>
      <c r="E12" s="2">
        <f t="shared" si="4"/>
        <v>2313.3669333063312</v>
      </c>
      <c r="F12" s="2">
        <f t="shared" si="5"/>
        <v>20.820302399756979</v>
      </c>
    </row>
    <row r="13" spans="1:9">
      <c r="A13">
        <f t="shared" si="0"/>
        <v>12</v>
      </c>
      <c r="B13" s="2">
        <f t="shared" si="1"/>
        <v>200</v>
      </c>
      <c r="C13" s="2">
        <f t="shared" si="2"/>
        <v>2313.3669333063312</v>
      </c>
      <c r="D13" s="2">
        <f t="shared" si="3"/>
        <v>23.133669333063313</v>
      </c>
      <c r="E13" s="2">
        <f t="shared" si="4"/>
        <v>2536.5006026393944</v>
      </c>
      <c r="F13" s="2">
        <f t="shared" si="5"/>
        <v>22.828505423754549</v>
      </c>
      <c r="H13" s="3"/>
    </row>
    <row r="14" spans="1:9">
      <c r="A14">
        <f t="shared" si="0"/>
        <v>13</v>
      </c>
      <c r="B14" s="2">
        <f t="shared" si="1"/>
        <v>200</v>
      </c>
      <c r="C14" s="2">
        <f t="shared" si="2"/>
        <v>2536.5006026393944</v>
      </c>
      <c r="D14" s="2">
        <f t="shared" si="3"/>
        <v>25.365006026393946</v>
      </c>
      <c r="E14" s="2">
        <f t="shared" si="4"/>
        <v>2761.8656086657884</v>
      </c>
      <c r="F14" s="2">
        <f t="shared" si="5"/>
        <v>24.856790477992092</v>
      </c>
    </row>
    <row r="15" spans="1:9">
      <c r="A15">
        <f t="shared" si="0"/>
        <v>14</v>
      </c>
      <c r="B15" s="2">
        <f t="shared" si="1"/>
        <v>200</v>
      </c>
      <c r="C15" s="2">
        <f t="shared" si="2"/>
        <v>2761.8656086657884</v>
      </c>
      <c r="D15" s="2">
        <f t="shared" si="3"/>
        <v>27.618656086657886</v>
      </c>
      <c r="E15" s="2">
        <f t="shared" si="4"/>
        <v>2989.4842647524461</v>
      </c>
      <c r="F15" s="2">
        <f t="shared" si="5"/>
        <v>26.905358382772011</v>
      </c>
    </row>
    <row r="16" spans="1:9">
      <c r="A16">
        <f t="shared" si="0"/>
        <v>15</v>
      </c>
      <c r="B16" s="2">
        <f t="shared" si="1"/>
        <v>200</v>
      </c>
      <c r="C16" s="2">
        <f t="shared" si="2"/>
        <v>2989.4842647524461</v>
      </c>
      <c r="D16" s="2">
        <f t="shared" si="3"/>
        <v>29.89484264752446</v>
      </c>
      <c r="E16" s="2">
        <f t="shared" si="4"/>
        <v>3219.3791073999705</v>
      </c>
      <c r="F16" s="2">
        <f t="shared" si="5"/>
        <v>28.974411966599732</v>
      </c>
    </row>
    <row r="17" spans="1:6">
      <c r="A17">
        <f t="shared" si="0"/>
        <v>16</v>
      </c>
      <c r="B17" s="2">
        <f t="shared" si="1"/>
        <v>200</v>
      </c>
      <c r="C17" s="2">
        <f t="shared" si="2"/>
        <v>3219.3791073999705</v>
      </c>
      <c r="D17" s="2">
        <f t="shared" si="3"/>
        <v>32.193791073999705</v>
      </c>
      <c r="E17" s="2">
        <f t="shared" si="4"/>
        <v>3451.5728984739703</v>
      </c>
      <c r="F17" s="2">
        <f t="shared" si="5"/>
        <v>31.064156086265729</v>
      </c>
    </row>
    <row r="18" spans="1:6">
      <c r="A18">
        <f t="shared" si="0"/>
        <v>17</v>
      </c>
      <c r="B18" s="2">
        <f t="shared" si="1"/>
        <v>200</v>
      </c>
      <c r="C18" s="2">
        <f t="shared" si="2"/>
        <v>3451.5728984739703</v>
      </c>
      <c r="D18" s="2">
        <f t="shared" si="3"/>
        <v>34.515728984739702</v>
      </c>
      <c r="E18" s="2">
        <f t="shared" si="4"/>
        <v>3686.0886274587101</v>
      </c>
      <c r="F18" s="2">
        <f t="shared" si="5"/>
        <v>33.174797647128386</v>
      </c>
    </row>
    <row r="19" spans="1:6">
      <c r="A19">
        <f t="shared" si="0"/>
        <v>18</v>
      </c>
      <c r="B19" s="2">
        <f t="shared" si="1"/>
        <v>200</v>
      </c>
      <c r="C19" s="2">
        <f t="shared" si="2"/>
        <v>3686.0886274587101</v>
      </c>
      <c r="D19" s="2">
        <f t="shared" si="3"/>
        <v>36.860886274587102</v>
      </c>
      <c r="E19" s="2">
        <f t="shared" si="4"/>
        <v>3922.9495137332974</v>
      </c>
      <c r="F19" s="2">
        <f t="shared" si="5"/>
        <v>35.306545623599675</v>
      </c>
    </row>
    <row r="20" spans="1:6">
      <c r="A20">
        <f t="shared" si="0"/>
        <v>19</v>
      </c>
      <c r="B20" s="2">
        <f t="shared" si="1"/>
        <v>200</v>
      </c>
      <c r="C20" s="2">
        <f t="shared" si="2"/>
        <v>3922.9495137332974</v>
      </c>
      <c r="D20" s="2">
        <f t="shared" si="3"/>
        <v>39.229495137332975</v>
      </c>
      <c r="E20" s="2">
        <f t="shared" si="4"/>
        <v>4162.1790088706312</v>
      </c>
      <c r="F20" s="2">
        <f t="shared" si="5"/>
        <v>37.459611079835675</v>
      </c>
    </row>
    <row r="21" spans="1:6">
      <c r="A21">
        <f t="shared" si="0"/>
        <v>20</v>
      </c>
      <c r="B21" s="2">
        <f t="shared" si="1"/>
        <v>200</v>
      </c>
      <c r="C21" s="2">
        <f t="shared" si="2"/>
        <v>4162.1790088706312</v>
      </c>
      <c r="D21" s="2">
        <f t="shared" si="3"/>
        <v>41.621790088706312</v>
      </c>
      <c r="E21" s="2">
        <f t="shared" si="4"/>
        <v>4403.800798959337</v>
      </c>
      <c r="F21" s="2">
        <f t="shared" si="5"/>
        <v>39.634207190634029</v>
      </c>
    </row>
    <row r="22" spans="1:6">
      <c r="A22">
        <f t="shared" si="0"/>
        <v>21</v>
      </c>
      <c r="B22" s="2">
        <f t="shared" si="1"/>
        <v>200</v>
      </c>
      <c r="C22" s="2">
        <f t="shared" si="2"/>
        <v>4403.800798959337</v>
      </c>
      <c r="D22" s="2">
        <f t="shared" si="3"/>
        <v>44.038007989593375</v>
      </c>
      <c r="E22" s="2">
        <f t="shared" si="4"/>
        <v>4647.8388069489301</v>
      </c>
      <c r="F22" s="2">
        <f t="shared" si="5"/>
        <v>41.830549262540366</v>
      </c>
    </row>
    <row r="23" spans="1:6">
      <c r="A23">
        <f t="shared" si="0"/>
        <v>22</v>
      </c>
      <c r="B23" s="2">
        <f t="shared" si="1"/>
        <v>200</v>
      </c>
      <c r="C23" s="2">
        <f t="shared" si="2"/>
        <v>4647.8388069489301</v>
      </c>
      <c r="D23" s="2">
        <f t="shared" si="3"/>
        <v>46.478388069489306</v>
      </c>
      <c r="E23" s="2">
        <f t="shared" si="4"/>
        <v>4894.3171950184196</v>
      </c>
      <c r="F23" s="2">
        <f t="shared" si="5"/>
        <v>44.04885475516577</v>
      </c>
    </row>
    <row r="24" spans="1:6">
      <c r="A24">
        <f t="shared" si="0"/>
        <v>23</v>
      </c>
      <c r="B24" s="2">
        <f t="shared" si="1"/>
        <v>200</v>
      </c>
      <c r="C24" s="2">
        <f t="shared" si="2"/>
        <v>4894.3171950184196</v>
      </c>
      <c r="D24" s="2">
        <f t="shared" si="3"/>
        <v>48.943171950184194</v>
      </c>
      <c r="E24" s="2">
        <f t="shared" si="4"/>
        <v>5143.2603669686041</v>
      </c>
      <c r="F24" s="2">
        <f t="shared" si="5"/>
        <v>46.289343302717434</v>
      </c>
    </row>
    <row r="25" spans="1:6">
      <c r="A25">
        <f t="shared" si="0"/>
        <v>24</v>
      </c>
      <c r="B25" s="2">
        <f t="shared" si="1"/>
        <v>200</v>
      </c>
      <c r="C25" s="2">
        <f t="shared" si="2"/>
        <v>5143.2603669686041</v>
      </c>
      <c r="D25" s="2">
        <f t="shared" si="3"/>
        <v>51.432603669686046</v>
      </c>
      <c r="E25" s="2">
        <f t="shared" si="4"/>
        <v>5394.6929706382898</v>
      </c>
      <c r="F25" s="2">
        <f t="shared" si="5"/>
        <v>48.552236735744607</v>
      </c>
    </row>
    <row r="26" spans="1:6">
      <c r="A26">
        <f t="shared" si="0"/>
        <v>25</v>
      </c>
      <c r="B26" s="2">
        <f t="shared" si="1"/>
        <v>200</v>
      </c>
      <c r="C26" s="2">
        <f t="shared" si="2"/>
        <v>5394.6929706382898</v>
      </c>
      <c r="D26" s="2">
        <f t="shared" si="3"/>
        <v>53.946929706382896</v>
      </c>
      <c r="E26" s="2">
        <f t="shared" si="4"/>
        <v>5648.6399003446732</v>
      </c>
      <c r="F26" s="2">
        <f t="shared" si="5"/>
        <v>50.837759103102051</v>
      </c>
    </row>
    <row r="27" spans="1:6">
      <c r="A27">
        <f t="shared" si="0"/>
        <v>26</v>
      </c>
      <c r="B27" s="2">
        <f t="shared" si="1"/>
        <v>200</v>
      </c>
      <c r="C27" s="2">
        <f t="shared" si="2"/>
        <v>5648.6399003446732</v>
      </c>
      <c r="D27" s="2">
        <f t="shared" si="3"/>
        <v>56.486399003446735</v>
      </c>
      <c r="E27" s="2">
        <f t="shared" si="4"/>
        <v>5905.1262993481196</v>
      </c>
      <c r="F27" s="2">
        <f t="shared" si="5"/>
        <v>53.14613669413307</v>
      </c>
    </row>
    <row r="28" spans="1:6">
      <c r="A28">
        <f t="shared" si="0"/>
        <v>27</v>
      </c>
      <c r="B28" s="2">
        <f t="shared" si="1"/>
        <v>200</v>
      </c>
      <c r="C28" s="2">
        <f t="shared" si="2"/>
        <v>5905.1262993481196</v>
      </c>
      <c r="D28" s="2">
        <f t="shared" si="3"/>
        <v>59.051262993481195</v>
      </c>
      <c r="E28" s="2">
        <f t="shared" si="4"/>
        <v>6164.1775623416006</v>
      </c>
      <c r="F28" s="2">
        <f t="shared" si="5"/>
        <v>55.477598061074403</v>
      </c>
    </row>
    <row r="29" spans="1:6">
      <c r="A29">
        <f t="shared" si="0"/>
        <v>28</v>
      </c>
      <c r="B29" s="2">
        <f t="shared" si="1"/>
        <v>200</v>
      </c>
      <c r="C29" s="2">
        <f t="shared" si="2"/>
        <v>6164.1775623416006</v>
      </c>
      <c r="D29" s="2">
        <f t="shared" si="3"/>
        <v>61.641775623416009</v>
      </c>
      <c r="E29" s="2">
        <f t="shared" si="4"/>
        <v>6425.8193379650165</v>
      </c>
      <c r="F29" s="2">
        <f t="shared" si="5"/>
        <v>57.832374041685142</v>
      </c>
    </row>
    <row r="30" spans="1:6">
      <c r="A30">
        <f t="shared" si="0"/>
        <v>29</v>
      </c>
      <c r="B30" s="2">
        <f t="shared" si="1"/>
        <v>200</v>
      </c>
      <c r="C30" s="2">
        <f t="shared" si="2"/>
        <v>6425.8193379650165</v>
      </c>
      <c r="D30" s="2">
        <f t="shared" si="3"/>
        <v>64.258193379650166</v>
      </c>
      <c r="E30" s="2">
        <f t="shared" si="4"/>
        <v>6690.0775313446666</v>
      </c>
      <c r="F30" s="2">
        <f t="shared" si="5"/>
        <v>60.210697782101995</v>
      </c>
    </row>
    <row r="31" spans="1:6">
      <c r="A31">
        <f t="shared" si="0"/>
        <v>30</v>
      </c>
      <c r="B31" s="2">
        <f t="shared" si="1"/>
        <v>200</v>
      </c>
      <c r="C31" s="2">
        <f t="shared" si="2"/>
        <v>6690.0775313446666</v>
      </c>
      <c r="D31" s="2">
        <f t="shared" si="3"/>
        <v>66.900775313446672</v>
      </c>
      <c r="E31" s="2">
        <f t="shared" si="4"/>
        <v>6956.9783066581131</v>
      </c>
      <c r="F31" s="2">
        <f t="shared" si="5"/>
        <v>62.612804759923016</v>
      </c>
    </row>
    <row r="32" spans="1:6">
      <c r="A32">
        <f t="shared" si="0"/>
        <v>31</v>
      </c>
      <c r="B32" s="2">
        <f t="shared" si="1"/>
        <v>200</v>
      </c>
      <c r="C32" s="2">
        <f t="shared" si="2"/>
        <v>6956.9783066581131</v>
      </c>
      <c r="D32" s="2">
        <f t="shared" si="3"/>
        <v>69.569783066581138</v>
      </c>
      <c r="E32" s="2">
        <f t="shared" si="4"/>
        <v>7226.5480897246944</v>
      </c>
      <c r="F32" s="2">
        <f t="shared" si="5"/>
        <v>65.038932807522244</v>
      </c>
    </row>
    <row r="33" spans="1:6">
      <c r="A33">
        <f t="shared" si="0"/>
        <v>32</v>
      </c>
      <c r="B33" s="2">
        <f t="shared" si="1"/>
        <v>200</v>
      </c>
      <c r="C33" s="2">
        <f t="shared" si="2"/>
        <v>7226.5480897246944</v>
      </c>
      <c r="D33" s="2">
        <f t="shared" si="3"/>
        <v>72.265480897246945</v>
      </c>
      <c r="E33" s="2">
        <f t="shared" si="4"/>
        <v>7498.8135706219409</v>
      </c>
      <c r="F33" s="2">
        <f t="shared" si="5"/>
        <v>67.489322135597462</v>
      </c>
    </row>
    <row r="34" spans="1:6">
      <c r="A34">
        <f t="shared" si="0"/>
        <v>33</v>
      </c>
      <c r="B34" s="2">
        <f t="shared" si="1"/>
        <v>200</v>
      </c>
      <c r="C34" s="2">
        <f t="shared" si="2"/>
        <v>7498.8135706219409</v>
      </c>
      <c r="D34" s="2">
        <f t="shared" si="3"/>
        <v>74.98813570621941</v>
      </c>
      <c r="E34" s="2">
        <f t="shared" si="4"/>
        <v>7773.8017063281604</v>
      </c>
      <c r="F34" s="2">
        <f t="shared" si="5"/>
        <v>69.964215356953446</v>
      </c>
    </row>
    <row r="35" spans="1:6">
      <c r="A35">
        <f t="shared" si="0"/>
        <v>34</v>
      </c>
      <c r="B35" s="2">
        <f t="shared" si="1"/>
        <v>200</v>
      </c>
      <c r="C35" s="2">
        <f t="shared" si="2"/>
        <v>7773.8017063281604</v>
      </c>
      <c r="D35" s="2">
        <f t="shared" si="3"/>
        <v>77.738017063281603</v>
      </c>
      <c r="E35" s="2">
        <f t="shared" si="4"/>
        <v>8051.5397233914418</v>
      </c>
      <c r="F35" s="2">
        <f t="shared" si="5"/>
        <v>72.463857510522971</v>
      </c>
    </row>
    <row r="36" spans="1:6">
      <c r="A36">
        <f t="shared" si="0"/>
        <v>35</v>
      </c>
      <c r="B36" s="2">
        <f t="shared" si="1"/>
        <v>200</v>
      </c>
      <c r="C36" s="2">
        <f t="shared" si="2"/>
        <v>8051.5397233914418</v>
      </c>
      <c r="D36" s="2">
        <f t="shared" si="3"/>
        <v>80.515397233914413</v>
      </c>
      <c r="E36" s="2">
        <f t="shared" si="4"/>
        <v>8332.0551206253549</v>
      </c>
      <c r="F36" s="2">
        <f t="shared" si="5"/>
        <v>74.988496085628185</v>
      </c>
    </row>
    <row r="37" spans="1:6">
      <c r="A37">
        <f t="shared" si="0"/>
        <v>36</v>
      </c>
      <c r="B37" s="2">
        <f t="shared" si="1"/>
        <v>200</v>
      </c>
      <c r="C37" s="2">
        <f t="shared" si="2"/>
        <v>8332.0551206253549</v>
      </c>
      <c r="D37" s="2">
        <f t="shared" si="3"/>
        <v>83.320551206253555</v>
      </c>
      <c r="E37" s="2">
        <f t="shared" si="4"/>
        <v>8615.375671831609</v>
      </c>
      <c r="F37" s="2">
        <f t="shared" si="5"/>
        <v>77.538381046484474</v>
      </c>
    </row>
    <row r="38" spans="1:6">
      <c r="A38">
        <f t="shared" si="0"/>
        <v>37</v>
      </c>
      <c r="B38" s="2">
        <f t="shared" si="1"/>
        <v>200</v>
      </c>
      <c r="C38" s="2">
        <f t="shared" si="2"/>
        <v>8615.375671831609</v>
      </c>
      <c r="D38" s="2">
        <f t="shared" si="3"/>
        <v>86.153756718316089</v>
      </c>
      <c r="E38" s="2">
        <f t="shared" si="4"/>
        <v>8901.5294285499258</v>
      </c>
      <c r="F38" s="2">
        <f t="shared" si="5"/>
        <v>80.113764856949331</v>
      </c>
    </row>
    <row r="39" spans="1:6">
      <c r="A39">
        <f t="shared" si="0"/>
        <v>38</v>
      </c>
      <c r="B39" s="2">
        <f t="shared" si="1"/>
        <v>200</v>
      </c>
      <c r="C39" s="2">
        <f t="shared" si="2"/>
        <v>8901.5294285499258</v>
      </c>
      <c r="D39" s="2">
        <f t="shared" si="3"/>
        <v>89.015294285499266</v>
      </c>
      <c r="E39" s="2">
        <f t="shared" si="4"/>
        <v>9190.5447228354242</v>
      </c>
      <c r="F39" s="2">
        <f t="shared" si="5"/>
        <v>82.714902505518808</v>
      </c>
    </row>
    <row r="40" spans="1:6">
      <c r="A40">
        <f t="shared" si="0"/>
        <v>39</v>
      </c>
      <c r="B40" s="2">
        <f t="shared" si="1"/>
        <v>200</v>
      </c>
      <c r="C40" s="2">
        <f t="shared" si="2"/>
        <v>9190.5447228354242</v>
      </c>
      <c r="D40" s="2">
        <f t="shared" si="3"/>
        <v>91.905447228354248</v>
      </c>
      <c r="E40" s="2">
        <f t="shared" si="4"/>
        <v>9482.4501700637793</v>
      </c>
      <c r="F40" s="2">
        <f t="shared" si="5"/>
        <v>85.342051530574011</v>
      </c>
    </row>
    <row r="41" spans="1:6">
      <c r="A41">
        <f t="shared" si="0"/>
        <v>40</v>
      </c>
      <c r="B41" s="2">
        <f t="shared" si="1"/>
        <v>200</v>
      </c>
      <c r="C41" s="2">
        <f t="shared" si="2"/>
        <v>9482.4501700637793</v>
      </c>
      <c r="D41" s="2">
        <f t="shared" si="3"/>
        <v>94.824501700637796</v>
      </c>
      <c r="E41" s="2">
        <f t="shared" si="4"/>
        <v>9777.2746717644168</v>
      </c>
      <c r="F41" s="2">
        <f t="shared" si="5"/>
        <v>87.995472045879751</v>
      </c>
    </row>
    <row r="42" spans="1:6">
      <c r="A42">
        <f t="shared" si="0"/>
        <v>41</v>
      </c>
      <c r="B42" s="2">
        <f t="shared" si="1"/>
        <v>200</v>
      </c>
      <c r="C42" s="2">
        <f t="shared" si="2"/>
        <v>9777.2746717644168</v>
      </c>
      <c r="D42" s="2">
        <f t="shared" si="3"/>
        <v>97.772746717644168</v>
      </c>
      <c r="E42" s="2">
        <f t="shared" si="4"/>
        <v>10075.047418482061</v>
      </c>
      <c r="F42" s="2">
        <f t="shared" si="5"/>
        <v>90.675426766338546</v>
      </c>
    </row>
    <row r="43" spans="1:6">
      <c r="A43">
        <f t="shared" si="0"/>
        <v>42</v>
      </c>
      <c r="B43" s="2">
        <f t="shared" si="1"/>
        <v>200</v>
      </c>
      <c r="C43" s="2">
        <f t="shared" si="2"/>
        <v>10075.047418482061</v>
      </c>
      <c r="D43" s="2">
        <f t="shared" si="3"/>
        <v>100.75047418482062</v>
      </c>
      <c r="E43" s="2">
        <f t="shared" si="4"/>
        <v>10375.797892666882</v>
      </c>
      <c r="F43" s="2">
        <f t="shared" si="5"/>
        <v>93.382181034001931</v>
      </c>
    </row>
    <row r="44" spans="1:6">
      <c r="A44">
        <f t="shared" si="0"/>
        <v>43</v>
      </c>
      <c r="B44" s="2">
        <f t="shared" si="1"/>
        <v>200</v>
      </c>
      <c r="C44" s="2">
        <f t="shared" si="2"/>
        <v>10375.797892666882</v>
      </c>
      <c r="D44" s="2">
        <f t="shared" si="3"/>
        <v>103.75797892666883</v>
      </c>
      <c r="E44" s="2">
        <f t="shared" si="4"/>
        <v>10679.555871593551</v>
      </c>
      <c r="F44" s="2">
        <f t="shared" si="5"/>
        <v>96.116002844341949</v>
      </c>
    </row>
    <row r="45" spans="1:6">
      <c r="A45">
        <f t="shared" si="0"/>
        <v>44</v>
      </c>
      <c r="B45" s="2">
        <f t="shared" si="1"/>
        <v>200</v>
      </c>
      <c r="C45" s="2">
        <f t="shared" si="2"/>
        <v>10679.555871593551</v>
      </c>
      <c r="D45" s="2">
        <f t="shared" si="3"/>
        <v>106.79555871593551</v>
      </c>
      <c r="E45" s="2">
        <f t="shared" si="4"/>
        <v>10986.351430309487</v>
      </c>
      <c r="F45" s="2">
        <f t="shared" si="5"/>
        <v>98.877162872785377</v>
      </c>
    </row>
    <row r="46" spans="1:6">
      <c r="A46">
        <f t="shared" si="0"/>
        <v>45</v>
      </c>
      <c r="B46" s="2">
        <f t="shared" si="1"/>
        <v>200</v>
      </c>
      <c r="C46" s="2">
        <f t="shared" si="2"/>
        <v>10986.351430309487</v>
      </c>
      <c r="D46" s="2">
        <f t="shared" si="3"/>
        <v>109.86351430309487</v>
      </c>
      <c r="E46" s="2">
        <f t="shared" si="4"/>
        <v>11296.214944612582</v>
      </c>
      <c r="F46" s="2">
        <f t="shared" si="5"/>
        <v>101.66593450151323</v>
      </c>
    </row>
    <row r="47" spans="1:6">
      <c r="A47">
        <f t="shared" si="0"/>
        <v>46</v>
      </c>
      <c r="B47" s="2">
        <f t="shared" si="1"/>
        <v>200</v>
      </c>
      <c r="C47" s="2">
        <f t="shared" si="2"/>
        <v>11296.214944612582</v>
      </c>
      <c r="D47" s="2">
        <f t="shared" si="3"/>
        <v>112.96214944612582</v>
      </c>
      <c r="E47" s="2">
        <f t="shared" si="4"/>
        <v>11609.177094058708</v>
      </c>
      <c r="F47" s="2">
        <f t="shared" si="5"/>
        <v>104.48259384652837</v>
      </c>
    </row>
    <row r="48" spans="1:6">
      <c r="A48">
        <f t="shared" si="0"/>
        <v>47</v>
      </c>
      <c r="B48" s="2">
        <f t="shared" si="1"/>
        <v>200</v>
      </c>
      <c r="C48" s="2">
        <f t="shared" si="2"/>
        <v>11609.177094058708</v>
      </c>
      <c r="D48" s="2">
        <f t="shared" si="3"/>
        <v>116.09177094058708</v>
      </c>
      <c r="E48" s="2">
        <f t="shared" si="4"/>
        <v>11925.268864999296</v>
      </c>
      <c r="F48" s="2">
        <f t="shared" si="5"/>
        <v>107.32741978499365</v>
      </c>
    </row>
    <row r="49" spans="1:6">
      <c r="A49">
        <f t="shared" si="0"/>
        <v>48</v>
      </c>
      <c r="B49" s="2">
        <f t="shared" si="1"/>
        <v>200</v>
      </c>
      <c r="C49" s="2">
        <f t="shared" si="2"/>
        <v>11925.268864999296</v>
      </c>
      <c r="D49" s="2">
        <f t="shared" si="3"/>
        <v>119.25268864999296</v>
      </c>
      <c r="E49" s="2">
        <f t="shared" si="4"/>
        <v>12244.521553649289</v>
      </c>
      <c r="F49" s="2">
        <f t="shared" si="5"/>
        <v>110.20069398284359</v>
      </c>
    </row>
    <row r="50" spans="1:6">
      <c r="A50">
        <f t="shared" si="0"/>
        <v>49</v>
      </c>
      <c r="B50" s="2">
        <f t="shared" si="1"/>
        <v>200</v>
      </c>
      <c r="C50" s="2">
        <f t="shared" si="2"/>
        <v>12244.521553649289</v>
      </c>
      <c r="D50" s="2">
        <f t="shared" si="3"/>
        <v>122.4452155364929</v>
      </c>
      <c r="E50" s="2">
        <f t="shared" si="4"/>
        <v>12566.966769185781</v>
      </c>
      <c r="F50" s="2">
        <f t="shared" si="5"/>
        <v>113.10270092267203</v>
      </c>
    </row>
    <row r="51" spans="1:6">
      <c r="A51">
        <f t="shared" si="0"/>
        <v>50</v>
      </c>
      <c r="B51" s="2">
        <f t="shared" si="1"/>
        <v>200</v>
      </c>
      <c r="C51" s="2">
        <f t="shared" si="2"/>
        <v>12566.966769185781</v>
      </c>
      <c r="D51" s="2">
        <f t="shared" si="3"/>
        <v>125.66966769185781</v>
      </c>
      <c r="E51" s="2">
        <f t="shared" si="4"/>
        <v>12892.636436877639</v>
      </c>
      <c r="F51" s="2">
        <f t="shared" si="5"/>
        <v>116.03372793189875</v>
      </c>
    </row>
    <row r="52" spans="1:6">
      <c r="A52">
        <f t="shared" si="0"/>
        <v>51</v>
      </c>
      <c r="B52" s="2">
        <f t="shared" si="1"/>
        <v>200</v>
      </c>
      <c r="C52" s="2">
        <f t="shared" si="2"/>
        <v>12892.636436877639</v>
      </c>
      <c r="D52" s="2">
        <f t="shared" si="3"/>
        <v>128.9263643687764</v>
      </c>
      <c r="E52" s="2">
        <f t="shared" si="4"/>
        <v>13221.562801246417</v>
      </c>
      <c r="F52" s="2">
        <f t="shared" si="5"/>
        <v>118.99406521121774</v>
      </c>
    </row>
    <row r="53" spans="1:6">
      <c r="A53">
        <f t="shared" si="0"/>
        <v>52</v>
      </c>
      <c r="B53" s="2">
        <f t="shared" si="1"/>
        <v>200</v>
      </c>
      <c r="C53" s="2">
        <f t="shared" si="2"/>
        <v>13221.562801246417</v>
      </c>
      <c r="D53" s="2">
        <f t="shared" si="3"/>
        <v>132.21562801246418</v>
      </c>
      <c r="E53" s="2">
        <f t="shared" si="4"/>
        <v>13553.77842925888</v>
      </c>
      <c r="F53" s="2">
        <f t="shared" si="5"/>
        <v>121.98400586332991</v>
      </c>
    </row>
    <row r="54" spans="1:6">
      <c r="A54">
        <f t="shared" si="0"/>
        <v>53</v>
      </c>
      <c r="B54" s="2">
        <f t="shared" si="1"/>
        <v>200</v>
      </c>
      <c r="C54" s="2">
        <f t="shared" si="2"/>
        <v>13553.77842925888</v>
      </c>
      <c r="D54" s="2">
        <f t="shared" si="3"/>
        <v>135.53778429258881</v>
      </c>
      <c r="E54" s="2">
        <f t="shared" si="4"/>
        <v>13889.316213551469</v>
      </c>
      <c r="F54" s="2">
        <f t="shared" si="5"/>
        <v>125.0038459219632</v>
      </c>
    </row>
    <row r="55" spans="1:6">
      <c r="A55">
        <f t="shared" si="0"/>
        <v>54</v>
      </c>
      <c r="B55" s="2">
        <f t="shared" si="1"/>
        <v>200</v>
      </c>
      <c r="C55" s="2">
        <f t="shared" si="2"/>
        <v>13889.316213551469</v>
      </c>
      <c r="D55" s="2">
        <f t="shared" si="3"/>
        <v>138.8931621355147</v>
      </c>
      <c r="E55" s="2">
        <f t="shared" si="4"/>
        <v>14228.209375686984</v>
      </c>
      <c r="F55" s="2">
        <f t="shared" si="5"/>
        <v>128.05388438118285</v>
      </c>
    </row>
    <row r="56" spans="1:6">
      <c r="A56">
        <f t="shared" si="0"/>
        <v>55</v>
      </c>
      <c r="B56" s="2">
        <f t="shared" si="1"/>
        <v>200</v>
      </c>
      <c r="C56" s="2">
        <f t="shared" si="2"/>
        <v>14228.209375686984</v>
      </c>
      <c r="D56" s="2">
        <f t="shared" si="3"/>
        <v>142.28209375686984</v>
      </c>
      <c r="E56" s="2">
        <f t="shared" si="4"/>
        <v>14570.491469443854</v>
      </c>
      <c r="F56" s="2">
        <f t="shared" si="5"/>
        <v>131.13442322499466</v>
      </c>
    </row>
    <row r="57" spans="1:6">
      <c r="A57">
        <f t="shared" si="0"/>
        <v>56</v>
      </c>
      <c r="B57" s="2">
        <f t="shared" si="1"/>
        <v>200</v>
      </c>
      <c r="C57" s="2">
        <f t="shared" si="2"/>
        <v>14570.491469443854</v>
      </c>
      <c r="D57" s="2">
        <f t="shared" si="3"/>
        <v>145.70491469443854</v>
      </c>
      <c r="E57" s="2">
        <f t="shared" si="4"/>
        <v>14916.196384138293</v>
      </c>
      <c r="F57" s="2">
        <f t="shared" si="5"/>
        <v>134.24576745724463</v>
      </c>
    </row>
    <row r="58" spans="1:6">
      <c r="A58">
        <f t="shared" si="0"/>
        <v>57</v>
      </c>
      <c r="B58" s="2">
        <f t="shared" si="1"/>
        <v>200</v>
      </c>
      <c r="C58" s="2">
        <f t="shared" si="2"/>
        <v>14916.196384138293</v>
      </c>
      <c r="D58" s="2">
        <f t="shared" si="3"/>
        <v>149.16196384138294</v>
      </c>
      <c r="E58" s="2">
        <f t="shared" si="4"/>
        <v>15265.358347979676</v>
      </c>
      <c r="F58" s="2">
        <f t="shared" si="5"/>
        <v>137.38822513181708</v>
      </c>
    </row>
    <row r="59" spans="1:6">
      <c r="A59">
        <f t="shared" si="0"/>
        <v>58</v>
      </c>
      <c r="B59" s="2">
        <f t="shared" si="1"/>
        <v>200</v>
      </c>
      <c r="C59" s="2">
        <f t="shared" si="2"/>
        <v>15265.358347979676</v>
      </c>
      <c r="D59" s="2">
        <f t="shared" si="3"/>
        <v>152.65358347979677</v>
      </c>
      <c r="E59" s="2">
        <f t="shared" si="4"/>
        <v>15618.011931459472</v>
      </c>
      <c r="F59" s="2">
        <f t="shared" si="5"/>
        <v>140.56210738313524</v>
      </c>
    </row>
    <row r="60" spans="1:6">
      <c r="A60">
        <f t="shared" si="0"/>
        <v>59</v>
      </c>
      <c r="B60" s="2">
        <f t="shared" si="1"/>
        <v>200</v>
      </c>
      <c r="C60" s="2">
        <f t="shared" si="2"/>
        <v>15618.011931459472</v>
      </c>
      <c r="D60" s="2">
        <f t="shared" si="3"/>
        <v>156.18011931459472</v>
      </c>
      <c r="E60" s="2">
        <f t="shared" si="4"/>
        <v>15974.192050774067</v>
      </c>
      <c r="F60" s="2">
        <f t="shared" si="5"/>
        <v>143.76772845696658</v>
      </c>
    </row>
    <row r="61" spans="1:6">
      <c r="A61">
        <f t="shared" ref="A61" si="6">A60+1</f>
        <v>60</v>
      </c>
      <c r="B61" s="2">
        <f t="shared" si="1"/>
        <v>200</v>
      </c>
      <c r="C61" s="2">
        <f t="shared" ref="C61" si="7">E60</f>
        <v>15974.192050774067</v>
      </c>
      <c r="D61" s="2">
        <f t="shared" si="3"/>
        <v>159.74192050774067</v>
      </c>
      <c r="E61" s="2">
        <f t="shared" ref="E61" si="8">C61+B61+D61</f>
        <v>16333.933971281807</v>
      </c>
      <c r="F61" s="2">
        <f t="shared" si="5"/>
        <v>147.00540574153626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2026-01-20T17:02:25Z</dcterms:created>
  <dcterms:modified xsi:type="dcterms:W3CDTF">2026-01-20T17:48:41Z</dcterms:modified>
  <cp:category/>
  <cp:contentStatus/>
</cp:coreProperties>
</file>